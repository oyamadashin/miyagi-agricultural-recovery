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yama\Documents\r_analysis\miyagi-agricultural-recovery\99_tips\"/>
    </mc:Choice>
  </mc:AlternateContent>
  <xr:revisionPtr revIDLastSave="0" documentId="13_ncr:1_{34BDDD58-37AC-48E6-96CB-760FFE8476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" l="1"/>
  <c r="F38" i="1"/>
  <c r="G38" i="1"/>
  <c r="H38" i="1"/>
  <c r="I38" i="1"/>
  <c r="K38" i="1"/>
  <c r="L38" i="1"/>
  <c r="M38" i="1"/>
  <c r="O38" i="1"/>
  <c r="P38" i="1"/>
  <c r="Q38" i="1"/>
  <c r="R38" i="1"/>
  <c r="D38" i="1"/>
  <c r="N33" i="1"/>
  <c r="N38" i="1" s="1"/>
  <c r="J7" i="1"/>
  <c r="J17" i="1"/>
  <c r="J38" i="1" s="1"/>
  <c r="H18" i="1"/>
  <c r="G25" i="1"/>
  <c r="G24" i="1"/>
  <c r="G18" i="1"/>
  <c r="E4" i="1"/>
  <c r="D4" i="1"/>
  <c r="D2" i="1"/>
</calcChain>
</file>

<file path=xl/sharedStrings.xml><?xml version="1.0" encoding="utf-8"?>
<sst xmlns="http://schemas.openxmlformats.org/spreadsheetml/2006/main" count="93" uniqueCount="67">
  <si>
    <t>白石市</t>
    <rPh sb="0" eb="3">
      <t>シロイシシ</t>
    </rPh>
    <phoneticPr fontId="1"/>
  </si>
  <si>
    <t>白川内親地区</t>
    <rPh sb="0" eb="2">
      <t>シラカワ</t>
    </rPh>
    <rPh sb="2" eb="3">
      <t>ウチ</t>
    </rPh>
    <rPh sb="3" eb="4">
      <t>オヤ</t>
    </rPh>
    <rPh sb="4" eb="6">
      <t>チク</t>
    </rPh>
    <phoneticPr fontId="1"/>
  </si>
  <si>
    <t>名取市</t>
    <rPh sb="0" eb="3">
      <t>ナトリシ</t>
    </rPh>
    <phoneticPr fontId="1"/>
  </si>
  <si>
    <t>第1回配分額（千円）</t>
    <rPh sb="0" eb="1">
      <t>ダイ</t>
    </rPh>
    <rPh sb="2" eb="3">
      <t>カイ</t>
    </rPh>
    <rPh sb="3" eb="6">
      <t>ハイブンガク</t>
    </rPh>
    <rPh sb="7" eb="9">
      <t>センエン</t>
    </rPh>
    <phoneticPr fontId="1"/>
  </si>
  <si>
    <t>第2回配分額（千円）</t>
    <rPh sb="0" eb="1">
      <t>ダイ</t>
    </rPh>
    <rPh sb="2" eb="3">
      <t>カイ</t>
    </rPh>
    <rPh sb="3" eb="6">
      <t>ハイブンガク</t>
    </rPh>
    <rPh sb="7" eb="9">
      <t>センエン</t>
    </rPh>
    <phoneticPr fontId="1"/>
  </si>
  <si>
    <t>第3回配分額（千円）</t>
    <rPh sb="0" eb="1">
      <t>ダイ</t>
    </rPh>
    <rPh sb="2" eb="3">
      <t>カイ</t>
    </rPh>
    <rPh sb="3" eb="6">
      <t>ハイブンガク</t>
    </rPh>
    <rPh sb="7" eb="9">
      <t>センエン</t>
    </rPh>
    <phoneticPr fontId="1"/>
  </si>
  <si>
    <t>第4回配分額（千円）</t>
    <rPh sb="0" eb="1">
      <t>ダイ</t>
    </rPh>
    <rPh sb="2" eb="3">
      <t>カイ</t>
    </rPh>
    <rPh sb="3" eb="6">
      <t>ハイブンガク</t>
    </rPh>
    <rPh sb="7" eb="9">
      <t>センエン</t>
    </rPh>
    <phoneticPr fontId="1"/>
  </si>
  <si>
    <t>第5回配分額（千円）</t>
    <rPh sb="0" eb="1">
      <t>ダイ</t>
    </rPh>
    <rPh sb="2" eb="3">
      <t>カイ</t>
    </rPh>
    <rPh sb="3" eb="6">
      <t>ハイブンガク</t>
    </rPh>
    <rPh sb="7" eb="9">
      <t>センエン</t>
    </rPh>
    <phoneticPr fontId="1"/>
  </si>
  <si>
    <t>第6回配分額（千円）</t>
    <rPh sb="0" eb="1">
      <t>ダイ</t>
    </rPh>
    <rPh sb="2" eb="3">
      <t>カイ</t>
    </rPh>
    <rPh sb="3" eb="6">
      <t>ハイブンガク</t>
    </rPh>
    <rPh sb="7" eb="9">
      <t>センエン</t>
    </rPh>
    <phoneticPr fontId="1"/>
  </si>
  <si>
    <t>第7回配分額（千円）</t>
    <rPh sb="0" eb="1">
      <t>ダイ</t>
    </rPh>
    <rPh sb="2" eb="3">
      <t>カイ</t>
    </rPh>
    <rPh sb="3" eb="6">
      <t>ハイブンガク</t>
    </rPh>
    <rPh sb="7" eb="9">
      <t>センエン</t>
    </rPh>
    <phoneticPr fontId="1"/>
  </si>
  <si>
    <t>第8回配分額（千円）</t>
    <rPh sb="0" eb="1">
      <t>ダイ</t>
    </rPh>
    <rPh sb="2" eb="3">
      <t>カイ</t>
    </rPh>
    <rPh sb="3" eb="6">
      <t>ハイブンガク</t>
    </rPh>
    <rPh sb="7" eb="9">
      <t>センエン</t>
    </rPh>
    <phoneticPr fontId="1"/>
  </si>
  <si>
    <t>亘理町</t>
    <rPh sb="0" eb="3">
      <t>ワタリチョウ</t>
    </rPh>
    <phoneticPr fontId="1"/>
  </si>
  <si>
    <t>吉田地区</t>
    <rPh sb="0" eb="2">
      <t>ヨシダ</t>
    </rPh>
    <rPh sb="2" eb="4">
      <t>チク</t>
    </rPh>
    <phoneticPr fontId="1"/>
  </si>
  <si>
    <t>山元町</t>
    <rPh sb="0" eb="3">
      <t>ヤマモトチョウ</t>
    </rPh>
    <phoneticPr fontId="1"/>
  </si>
  <si>
    <t>牛橋地区・花釜地区・笠野地区</t>
    <rPh sb="0" eb="1">
      <t>ウシ</t>
    </rPh>
    <rPh sb="1" eb="2">
      <t>ハシ</t>
    </rPh>
    <rPh sb="2" eb="4">
      <t>チク</t>
    </rPh>
    <rPh sb="5" eb="6">
      <t>ハナ</t>
    </rPh>
    <rPh sb="6" eb="7">
      <t>カマ</t>
    </rPh>
    <rPh sb="7" eb="9">
      <t>チク</t>
    </rPh>
    <rPh sb="10" eb="11">
      <t>カサ</t>
    </rPh>
    <rPh sb="11" eb="12">
      <t>ノ</t>
    </rPh>
    <rPh sb="12" eb="14">
      <t>チク</t>
    </rPh>
    <phoneticPr fontId="1"/>
  </si>
  <si>
    <t>仙台市</t>
    <rPh sb="0" eb="3">
      <t>センダイシ</t>
    </rPh>
    <phoneticPr fontId="1"/>
  </si>
  <si>
    <t>（「津波被害地域」とだけ記載）</t>
    <rPh sb="2" eb="4">
      <t>ツナミ</t>
    </rPh>
    <rPh sb="4" eb="6">
      <t>ヒガイ</t>
    </rPh>
    <rPh sb="6" eb="8">
      <t>チイキ</t>
    </rPh>
    <rPh sb="12" eb="14">
      <t>キサイ</t>
    </rPh>
    <phoneticPr fontId="1"/>
  </si>
  <si>
    <t>六郷・七郷・岡田地区</t>
    <rPh sb="0" eb="2">
      <t>ロクゴウ</t>
    </rPh>
    <rPh sb="3" eb="5">
      <t>ナナゴウ</t>
    </rPh>
    <rPh sb="6" eb="8">
      <t>オカダ</t>
    </rPh>
    <rPh sb="8" eb="10">
      <t>チク</t>
    </rPh>
    <phoneticPr fontId="1"/>
  </si>
  <si>
    <t>石巻市</t>
    <rPh sb="0" eb="3">
      <t>イシノマキシ</t>
    </rPh>
    <phoneticPr fontId="1"/>
  </si>
  <si>
    <t>北上地区</t>
    <rPh sb="0" eb="2">
      <t>キタカミ</t>
    </rPh>
    <rPh sb="2" eb="4">
      <t>チク</t>
    </rPh>
    <phoneticPr fontId="1"/>
  </si>
  <si>
    <t>岩沼市</t>
    <rPh sb="0" eb="3">
      <t>イワヌマシ</t>
    </rPh>
    <phoneticPr fontId="1"/>
  </si>
  <si>
    <t>（「東部地域」とだけ記載）</t>
    <rPh sb="2" eb="4">
      <t>トウブ</t>
    </rPh>
    <rPh sb="4" eb="6">
      <t>チイキ</t>
    </rPh>
    <rPh sb="10" eb="12">
      <t>キサイ</t>
    </rPh>
    <phoneticPr fontId="1"/>
  </si>
  <si>
    <t>大崎市</t>
    <rPh sb="0" eb="2">
      <t>オオサキ</t>
    </rPh>
    <rPh sb="2" eb="3">
      <t>シ</t>
    </rPh>
    <phoneticPr fontId="1"/>
  </si>
  <si>
    <t>古川地域</t>
    <rPh sb="0" eb="2">
      <t>フルカワ</t>
    </rPh>
    <rPh sb="2" eb="4">
      <t>チイキ</t>
    </rPh>
    <phoneticPr fontId="1"/>
  </si>
  <si>
    <t>逢隈地区</t>
    <rPh sb="2" eb="4">
      <t>チク</t>
    </rPh>
    <phoneticPr fontId="1"/>
  </si>
  <si>
    <t>浜吉田地区</t>
    <rPh sb="0" eb="1">
      <t>ハマ</t>
    </rPh>
    <rPh sb="1" eb="3">
      <t>ヨシダ</t>
    </rPh>
    <rPh sb="3" eb="5">
      <t>チク</t>
    </rPh>
    <phoneticPr fontId="1"/>
  </si>
  <si>
    <t>蛇田、須江地区</t>
    <rPh sb="0" eb="2">
      <t>ヘビタ</t>
    </rPh>
    <rPh sb="3" eb="5">
      <t>スエ</t>
    </rPh>
    <rPh sb="5" eb="7">
      <t>チク</t>
    </rPh>
    <phoneticPr fontId="1"/>
  </si>
  <si>
    <t>大川地区</t>
    <rPh sb="0" eb="2">
      <t>オオカワ</t>
    </rPh>
    <rPh sb="2" eb="4">
      <t>チク</t>
    </rPh>
    <phoneticPr fontId="1"/>
  </si>
  <si>
    <t>東松島市</t>
    <rPh sb="0" eb="4">
      <t>ヒガシマツシマシ</t>
    </rPh>
    <phoneticPr fontId="1"/>
  </si>
  <si>
    <t>大曲地区</t>
    <rPh sb="0" eb="2">
      <t>オオマガリ</t>
    </rPh>
    <rPh sb="2" eb="4">
      <t>チク</t>
    </rPh>
    <phoneticPr fontId="1"/>
  </si>
  <si>
    <t>野蒜地区</t>
    <rPh sb="0" eb="2">
      <t>ノビル</t>
    </rPh>
    <rPh sb="2" eb="4">
      <t>チク</t>
    </rPh>
    <phoneticPr fontId="1"/>
  </si>
  <si>
    <t>（「町内全域」とだけ記載）</t>
    <rPh sb="2" eb="4">
      <t>チョウナイ</t>
    </rPh>
    <rPh sb="4" eb="6">
      <t>ゼンイキ</t>
    </rPh>
    <rPh sb="10" eb="12">
      <t>キサイ</t>
    </rPh>
    <phoneticPr fontId="1"/>
  </si>
  <si>
    <t>七ヶ浜町</t>
    <rPh sb="0" eb="4">
      <t>シチガハマチョウ</t>
    </rPh>
    <phoneticPr fontId="1"/>
  </si>
  <si>
    <t>七ヶ浜町全域</t>
    <rPh sb="0" eb="3">
      <t>シチガハマ</t>
    </rPh>
    <rPh sb="3" eb="6">
      <t>チョウゼンイキ</t>
    </rPh>
    <phoneticPr fontId="1"/>
  </si>
  <si>
    <t>六郷・七郷・高砂地区</t>
    <rPh sb="0" eb="2">
      <t>ロクゴウ</t>
    </rPh>
    <rPh sb="3" eb="5">
      <t>ナナゴウ</t>
    </rPh>
    <rPh sb="6" eb="8">
      <t>タカサゴ</t>
    </rPh>
    <rPh sb="8" eb="10">
      <t>チク</t>
    </rPh>
    <phoneticPr fontId="1"/>
  </si>
  <si>
    <t>閖上・下増田地区</t>
    <rPh sb="0" eb="2">
      <t>ユリアゲ</t>
    </rPh>
    <rPh sb="3" eb="6">
      <t>シモマスダ</t>
    </rPh>
    <rPh sb="6" eb="8">
      <t>チク</t>
    </rPh>
    <phoneticPr fontId="1"/>
  </si>
  <si>
    <t>吉田・荒浜・逢隈・亘理地区</t>
    <rPh sb="0" eb="2">
      <t>ヨシダ</t>
    </rPh>
    <rPh sb="3" eb="5">
      <t>アラハマ</t>
    </rPh>
    <rPh sb="8" eb="10">
      <t>ワタリ</t>
    </rPh>
    <rPh sb="10" eb="12">
      <t>チク</t>
    </rPh>
    <phoneticPr fontId="1"/>
  </si>
  <si>
    <t>西矢本地区</t>
    <rPh sb="0" eb="1">
      <t>ニシ</t>
    </rPh>
    <rPh sb="1" eb="3">
      <t>ヤモト</t>
    </rPh>
    <rPh sb="3" eb="5">
      <t>チク</t>
    </rPh>
    <phoneticPr fontId="1"/>
  </si>
  <si>
    <t>南三陸町</t>
    <rPh sb="0" eb="4">
      <t>ミナミサンリクチョウ</t>
    </rPh>
    <phoneticPr fontId="1"/>
  </si>
  <si>
    <t>田の浦地区</t>
    <rPh sb="0" eb="1">
      <t>タ</t>
    </rPh>
    <rPh sb="2" eb="3">
      <t>ウラ</t>
    </rPh>
    <rPh sb="3" eb="5">
      <t>チク</t>
    </rPh>
    <phoneticPr fontId="1"/>
  </si>
  <si>
    <t>波伝谷・在郷・田尻畑地区等</t>
    <rPh sb="0" eb="1">
      <t>ナミ</t>
    </rPh>
    <rPh sb="1" eb="2">
      <t>デン</t>
    </rPh>
    <rPh sb="2" eb="3">
      <t>タニ</t>
    </rPh>
    <rPh sb="4" eb="6">
      <t>ザイゴウ</t>
    </rPh>
    <rPh sb="7" eb="9">
      <t>タジリ</t>
    </rPh>
    <rPh sb="9" eb="10">
      <t>ハタケ</t>
    </rPh>
    <rPh sb="10" eb="12">
      <t>チク</t>
    </rPh>
    <rPh sb="12" eb="13">
      <t>トウ</t>
    </rPh>
    <phoneticPr fontId="1"/>
  </si>
  <si>
    <t>六郷地区</t>
    <rPh sb="0" eb="2">
      <t>ロクゴウ</t>
    </rPh>
    <rPh sb="2" eb="4">
      <t>チク</t>
    </rPh>
    <phoneticPr fontId="1"/>
  </si>
  <si>
    <t>宮戸地区</t>
    <rPh sb="0" eb="2">
      <t>ミヤト</t>
    </rPh>
    <rPh sb="2" eb="4">
      <t>チク</t>
    </rPh>
    <phoneticPr fontId="1"/>
  </si>
  <si>
    <t>角田市内</t>
    <rPh sb="0" eb="2">
      <t>カクタ</t>
    </rPh>
    <rPh sb="2" eb="4">
      <t>シナイ</t>
    </rPh>
    <phoneticPr fontId="1"/>
  </si>
  <si>
    <t>（「山元町」とだけ記載）</t>
    <rPh sb="2" eb="5">
      <t>ヤマモトチョウ</t>
    </rPh>
    <rPh sb="9" eb="11">
      <t>キサイ</t>
    </rPh>
    <phoneticPr fontId="1"/>
  </si>
  <si>
    <t>第9回配分額（千円）</t>
    <rPh sb="0" eb="1">
      <t>ダイ</t>
    </rPh>
    <rPh sb="2" eb="3">
      <t>カイ</t>
    </rPh>
    <rPh sb="3" eb="6">
      <t>ハイブンガク</t>
    </rPh>
    <rPh sb="7" eb="9">
      <t>センエン</t>
    </rPh>
    <phoneticPr fontId="1"/>
  </si>
  <si>
    <t>第10回配分額（千円）</t>
    <rPh sb="0" eb="1">
      <t>ダイ</t>
    </rPh>
    <rPh sb="3" eb="4">
      <t>カイ</t>
    </rPh>
    <rPh sb="4" eb="7">
      <t>ハイブンガク</t>
    </rPh>
    <rPh sb="8" eb="10">
      <t>センエン</t>
    </rPh>
    <phoneticPr fontId="1"/>
  </si>
  <si>
    <t>第11回配分額（千円）</t>
    <rPh sb="0" eb="1">
      <t>ダイ</t>
    </rPh>
    <rPh sb="3" eb="4">
      <t>カイ</t>
    </rPh>
    <rPh sb="4" eb="7">
      <t>ハイブンガク</t>
    </rPh>
    <rPh sb="8" eb="10">
      <t>センエン</t>
    </rPh>
    <phoneticPr fontId="1"/>
  </si>
  <si>
    <t>第12回配分額（千円）</t>
    <rPh sb="0" eb="1">
      <t>ダイ</t>
    </rPh>
    <rPh sb="3" eb="4">
      <t>カイ</t>
    </rPh>
    <rPh sb="4" eb="7">
      <t>ハイブンガク</t>
    </rPh>
    <rPh sb="8" eb="10">
      <t>センエン</t>
    </rPh>
    <phoneticPr fontId="1"/>
  </si>
  <si>
    <t>第13回配分額（千円）</t>
    <rPh sb="0" eb="1">
      <t>ダイ</t>
    </rPh>
    <rPh sb="3" eb="4">
      <t>カイ</t>
    </rPh>
    <rPh sb="4" eb="7">
      <t>ハイブンガク</t>
    </rPh>
    <rPh sb="8" eb="10">
      <t>センエン</t>
    </rPh>
    <phoneticPr fontId="1"/>
  </si>
  <si>
    <t>第14回配分額（千円）</t>
    <rPh sb="0" eb="1">
      <t>ダイ</t>
    </rPh>
    <rPh sb="3" eb="4">
      <t>カイ</t>
    </rPh>
    <rPh sb="4" eb="7">
      <t>ハイブンガク</t>
    </rPh>
    <rPh sb="8" eb="10">
      <t>センエン</t>
    </rPh>
    <phoneticPr fontId="1"/>
  </si>
  <si>
    <t>第15回配分額（千円）</t>
    <rPh sb="0" eb="1">
      <t>ダイ</t>
    </rPh>
    <rPh sb="3" eb="4">
      <t>カイ</t>
    </rPh>
    <rPh sb="4" eb="7">
      <t>ハイブンガク</t>
    </rPh>
    <rPh sb="8" eb="10">
      <t>センエン</t>
    </rPh>
    <phoneticPr fontId="1"/>
  </si>
  <si>
    <t>気仙沼町</t>
    <rPh sb="0" eb="2">
      <t>ケセン</t>
    </rPh>
    <rPh sb="2" eb="4">
      <t>ヌマチョウ</t>
    </rPh>
    <phoneticPr fontId="1"/>
  </si>
  <si>
    <t>階上地区・大谷地区</t>
    <rPh sb="0" eb="2">
      <t>カイジョウ</t>
    </rPh>
    <rPh sb="2" eb="4">
      <t>チク</t>
    </rPh>
    <rPh sb="5" eb="7">
      <t>オオタニ</t>
    </rPh>
    <rPh sb="7" eb="9">
      <t>チク</t>
    </rPh>
    <phoneticPr fontId="1"/>
  </si>
  <si>
    <t>板橋・泊浜・田表・西戸川・在郷地区</t>
    <phoneticPr fontId="1"/>
  </si>
  <si>
    <t>洲崎・東名地区</t>
    <phoneticPr fontId="1"/>
  </si>
  <si>
    <t>小泉地区</t>
    <rPh sb="0" eb="2">
      <t>コイズミ</t>
    </rPh>
    <rPh sb="2" eb="4">
      <t>チク</t>
    </rPh>
    <phoneticPr fontId="1"/>
  </si>
  <si>
    <t>志津川地区</t>
    <rPh sb="0" eb="3">
      <t>シヅガワ</t>
    </rPh>
    <rPh sb="3" eb="5">
      <t>チク</t>
    </rPh>
    <phoneticPr fontId="1"/>
  </si>
  <si>
    <t>新浜地区</t>
    <rPh sb="0" eb="2">
      <t>ニイハマ</t>
    </rPh>
    <rPh sb="2" eb="4">
      <t>チク</t>
    </rPh>
    <phoneticPr fontId="1"/>
  </si>
  <si>
    <t>磯地区</t>
    <phoneticPr fontId="1"/>
  </si>
  <si>
    <t>牡鹿地区</t>
    <rPh sb="0" eb="2">
      <t>オジカ</t>
    </rPh>
    <rPh sb="2" eb="4">
      <t>チク</t>
    </rPh>
    <phoneticPr fontId="1"/>
  </si>
  <si>
    <t>合計</t>
    <rPh sb="0" eb="2">
      <t>ゴウケイ</t>
    </rPh>
    <phoneticPr fontId="1"/>
  </si>
  <si>
    <t>（第15回以降はc-4事業交付事例確認できず）</t>
    <rPh sb="1" eb="2">
      <t>ダイ</t>
    </rPh>
    <rPh sb="4" eb="5">
      <t>カイ</t>
    </rPh>
    <rPh sb="5" eb="7">
      <t>イコウ</t>
    </rPh>
    <rPh sb="11" eb="13">
      <t>ジギョウ</t>
    </rPh>
    <rPh sb="13" eb="15">
      <t>コウフ</t>
    </rPh>
    <rPh sb="15" eb="17">
      <t>ジレイ</t>
    </rPh>
    <rPh sb="17" eb="19">
      <t>カクニン</t>
    </rPh>
    <phoneticPr fontId="1"/>
  </si>
  <si>
    <t>c-4事業実施地区名</t>
    <rPh sb="3" eb="5">
      <t>ジギョウ</t>
    </rPh>
    <rPh sb="5" eb="7">
      <t>ジッシ</t>
    </rPh>
    <rPh sb="7" eb="10">
      <t>チクメイ</t>
    </rPh>
    <phoneticPr fontId="1"/>
  </si>
  <si>
    <t>c-4事業実施市町村名</t>
    <rPh sb="3" eb="5">
      <t>ジギョウ</t>
    </rPh>
    <rPh sb="5" eb="7">
      <t>ジッシ</t>
    </rPh>
    <rPh sb="7" eb="11">
      <t>シチョウソンメイ</t>
    </rPh>
    <phoneticPr fontId="1"/>
  </si>
  <si>
    <t>対応する旧市区町村</t>
    <rPh sb="0" eb="2">
      <t>タイオウ</t>
    </rPh>
    <rPh sb="4" eb="5">
      <t>キュウ</t>
    </rPh>
    <rPh sb="5" eb="9">
      <t>シクチョウソン</t>
    </rPh>
    <phoneticPr fontId="1"/>
  </si>
  <si>
    <t>白川村</t>
    <rPh sb="0" eb="3">
      <t>シラカワムラ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</si>
</sst>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8"/>
  <cols>
    <col min="1" max="1" width="19.19921875" bestFit="1" customWidth="1"/>
    <col min="2" max="2" width="33.8984375" style="1" bestFit="1" customWidth="1"/>
    <col min="3" max="3" width="18.19921875" style="1" bestFit="1" customWidth="1"/>
    <col min="4" max="4" width="18.69921875" style="1" customWidth="1"/>
    <col min="5" max="21" width="18.69921875" customWidth="1"/>
  </cols>
  <sheetData>
    <row r="1" spans="1:21">
      <c r="A1" t="s">
        <v>64</v>
      </c>
      <c r="B1" s="1" t="s">
        <v>63</v>
      </c>
      <c r="C1" s="1" t="s">
        <v>65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62</v>
      </c>
      <c r="U1" s="1"/>
    </row>
    <row r="2" spans="1:21">
      <c r="A2" t="s">
        <v>0</v>
      </c>
      <c r="B2" s="1" t="s">
        <v>1</v>
      </c>
      <c r="C2" s="1" t="s">
        <v>66</v>
      </c>
      <c r="D2" s="1">
        <f>295620+ 59836</f>
        <v>355456</v>
      </c>
      <c r="G2">
        <v>14967</v>
      </c>
    </row>
    <row r="3" spans="1:21">
      <c r="A3" t="s">
        <v>2</v>
      </c>
      <c r="B3" s="1" t="s">
        <v>35</v>
      </c>
      <c r="D3" s="1">
        <v>75000</v>
      </c>
      <c r="H3">
        <v>1158807</v>
      </c>
      <c r="I3">
        <v>266119</v>
      </c>
      <c r="J3">
        <v>1030035</v>
      </c>
      <c r="K3">
        <v>114135</v>
      </c>
      <c r="L3">
        <v>627150</v>
      </c>
    </row>
    <row r="4" spans="1:21">
      <c r="A4" t="s">
        <v>11</v>
      </c>
      <c r="B4" s="1" t="s">
        <v>12</v>
      </c>
      <c r="D4" s="1">
        <f>1584+79800</f>
        <v>81384</v>
      </c>
      <c r="E4">
        <f>183470+8263582</f>
        <v>8447052</v>
      </c>
    </row>
    <row r="5" spans="1:21">
      <c r="A5" t="s">
        <v>11</v>
      </c>
      <c r="B5" s="1" t="s">
        <v>24</v>
      </c>
      <c r="E5">
        <v>370316</v>
      </c>
    </row>
    <row r="6" spans="1:21">
      <c r="A6" t="s">
        <v>11</v>
      </c>
      <c r="B6" s="1" t="s">
        <v>25</v>
      </c>
      <c r="E6">
        <v>59188</v>
      </c>
      <c r="G6">
        <v>673027</v>
      </c>
    </row>
    <row r="7" spans="1:21">
      <c r="A7" t="s">
        <v>11</v>
      </c>
      <c r="B7" s="1" t="s">
        <v>36</v>
      </c>
      <c r="G7">
        <v>52950</v>
      </c>
      <c r="H7">
        <v>260388</v>
      </c>
      <c r="J7">
        <f>38902+296148</f>
        <v>335050</v>
      </c>
    </row>
    <row r="8" spans="1:21">
      <c r="A8" t="s">
        <v>11</v>
      </c>
      <c r="B8" s="1" t="s">
        <v>43</v>
      </c>
      <c r="K8">
        <v>2728</v>
      </c>
    </row>
    <row r="9" spans="1:21">
      <c r="A9" t="s">
        <v>13</v>
      </c>
      <c r="B9" s="1" t="s">
        <v>14</v>
      </c>
      <c r="D9" s="1">
        <v>49470</v>
      </c>
      <c r="E9">
        <v>4069565</v>
      </c>
      <c r="H9">
        <v>1639836</v>
      </c>
    </row>
    <row r="10" spans="1:21">
      <c r="A10" t="s">
        <v>13</v>
      </c>
      <c r="B10" s="1" t="s">
        <v>58</v>
      </c>
      <c r="O10">
        <v>164322</v>
      </c>
      <c r="P10">
        <v>936598</v>
      </c>
      <c r="Q10">
        <v>874567</v>
      </c>
    </row>
    <row r="11" spans="1:21">
      <c r="A11" t="s">
        <v>13</v>
      </c>
      <c r="B11" s="1" t="s">
        <v>59</v>
      </c>
      <c r="O11">
        <v>59209</v>
      </c>
      <c r="P11">
        <v>7087</v>
      </c>
    </row>
    <row r="12" spans="1:21">
      <c r="A12" t="s">
        <v>13</v>
      </c>
      <c r="B12" s="1" t="s">
        <v>31</v>
      </c>
      <c r="G12">
        <v>108315</v>
      </c>
      <c r="H12">
        <v>396796</v>
      </c>
    </row>
    <row r="13" spans="1:21">
      <c r="A13" t="s">
        <v>13</v>
      </c>
      <c r="B13" s="1" t="s">
        <v>44</v>
      </c>
      <c r="K13">
        <v>968</v>
      </c>
    </row>
    <row r="14" spans="1:21">
      <c r="A14" t="s">
        <v>15</v>
      </c>
      <c r="B14" s="1" t="s">
        <v>16</v>
      </c>
      <c r="E14">
        <v>5812</v>
      </c>
    </row>
    <row r="15" spans="1:21">
      <c r="A15" t="s">
        <v>15</v>
      </c>
      <c r="B15" s="1" t="s">
        <v>17</v>
      </c>
      <c r="E15">
        <v>1019400</v>
      </c>
    </row>
    <row r="16" spans="1:21">
      <c r="A16" t="s">
        <v>15</v>
      </c>
      <c r="B16" s="1" t="s">
        <v>34</v>
      </c>
      <c r="H16">
        <v>415388</v>
      </c>
    </row>
    <row r="17" spans="1:17">
      <c r="A17" t="s">
        <v>15</v>
      </c>
      <c r="B17" s="1" t="s">
        <v>41</v>
      </c>
      <c r="J17">
        <f>88121+270663</f>
        <v>358784</v>
      </c>
    </row>
    <row r="18" spans="1:17">
      <c r="A18" t="s">
        <v>20</v>
      </c>
      <c r="B18" s="1" t="s">
        <v>21</v>
      </c>
      <c r="E18">
        <v>19228</v>
      </c>
      <c r="G18">
        <f>360681+9264</f>
        <v>369945</v>
      </c>
      <c r="H18">
        <f>806218+1189314</f>
        <v>1995532</v>
      </c>
      <c r="J18">
        <v>743472</v>
      </c>
      <c r="K18">
        <v>53706</v>
      </c>
    </row>
    <row r="19" spans="1:17">
      <c r="A19" t="s">
        <v>22</v>
      </c>
      <c r="B19" s="1" t="s">
        <v>23</v>
      </c>
      <c r="E19">
        <v>82500</v>
      </c>
      <c r="H19">
        <v>824475</v>
      </c>
      <c r="J19">
        <v>2555</v>
      </c>
    </row>
    <row r="20" spans="1:17">
      <c r="A20" t="s">
        <v>18</v>
      </c>
      <c r="B20" s="1" t="s">
        <v>19</v>
      </c>
      <c r="E20">
        <v>1053750</v>
      </c>
      <c r="G20">
        <v>150933</v>
      </c>
      <c r="H20">
        <v>55863</v>
      </c>
    </row>
    <row r="21" spans="1:17">
      <c r="A21" t="s">
        <v>18</v>
      </c>
      <c r="B21" s="1" t="s">
        <v>26</v>
      </c>
      <c r="E21">
        <v>37500</v>
      </c>
      <c r="G21">
        <v>1758000</v>
      </c>
    </row>
    <row r="22" spans="1:17">
      <c r="A22" t="s">
        <v>18</v>
      </c>
      <c r="B22" s="1" t="s">
        <v>27</v>
      </c>
      <c r="G22">
        <v>97390</v>
      </c>
      <c r="H22">
        <v>251514</v>
      </c>
      <c r="J22">
        <v>13544</v>
      </c>
    </row>
    <row r="23" spans="1:17">
      <c r="A23" t="s">
        <v>18</v>
      </c>
      <c r="B23" s="1" t="s">
        <v>60</v>
      </c>
      <c r="Q23">
        <v>145581</v>
      </c>
    </row>
    <row r="24" spans="1:17">
      <c r="A24" t="s">
        <v>28</v>
      </c>
      <c r="B24" s="1" t="s">
        <v>29</v>
      </c>
      <c r="G24">
        <f>1960+176592</f>
        <v>178552</v>
      </c>
      <c r="H24">
        <v>21296</v>
      </c>
    </row>
    <row r="25" spans="1:17">
      <c r="A25" t="s">
        <v>28</v>
      </c>
      <c r="B25" s="1" t="s">
        <v>30</v>
      </c>
      <c r="G25">
        <f>726+21069</f>
        <v>21795</v>
      </c>
    </row>
    <row r="26" spans="1:17">
      <c r="A26" t="s">
        <v>28</v>
      </c>
      <c r="B26" s="1" t="s">
        <v>37</v>
      </c>
      <c r="I26">
        <v>37125</v>
      </c>
      <c r="J26">
        <v>240661</v>
      </c>
      <c r="L26">
        <v>787078</v>
      </c>
    </row>
    <row r="27" spans="1:17">
      <c r="A27" t="s">
        <v>28</v>
      </c>
      <c r="B27" s="1" t="s">
        <v>42</v>
      </c>
      <c r="J27">
        <v>31002</v>
      </c>
      <c r="M27">
        <v>10238</v>
      </c>
      <c r="O27">
        <v>89906</v>
      </c>
    </row>
    <row r="28" spans="1:17">
      <c r="A28" t="s">
        <v>28</v>
      </c>
      <c r="B28" s="1" t="s">
        <v>55</v>
      </c>
      <c r="M28">
        <v>19359</v>
      </c>
      <c r="O28">
        <v>615030</v>
      </c>
    </row>
    <row r="29" spans="1:17">
      <c r="A29" t="s">
        <v>32</v>
      </c>
      <c r="B29" s="1" t="s">
        <v>33</v>
      </c>
      <c r="G29">
        <v>5392</v>
      </c>
      <c r="H29">
        <v>116922</v>
      </c>
      <c r="L29">
        <v>28366</v>
      </c>
    </row>
    <row r="30" spans="1:17">
      <c r="A30" t="s">
        <v>38</v>
      </c>
      <c r="B30" s="1" t="s">
        <v>39</v>
      </c>
      <c r="I30">
        <v>17169</v>
      </c>
    </row>
    <row r="31" spans="1:17">
      <c r="A31" t="s">
        <v>38</v>
      </c>
      <c r="B31" s="1" t="s">
        <v>40</v>
      </c>
      <c r="I31">
        <v>84144</v>
      </c>
    </row>
    <row r="32" spans="1:17">
      <c r="A32" t="s">
        <v>38</v>
      </c>
      <c r="B32" s="1" t="s">
        <v>54</v>
      </c>
      <c r="L32">
        <v>266814</v>
      </c>
      <c r="M32">
        <v>77962</v>
      </c>
    </row>
    <row r="33" spans="1:21">
      <c r="A33" t="s">
        <v>38</v>
      </c>
      <c r="B33" s="1" t="s">
        <v>57</v>
      </c>
      <c r="N33">
        <f>132708+1569</f>
        <v>134277</v>
      </c>
      <c r="P33">
        <v>6439</v>
      </c>
    </row>
    <row r="34" spans="1:21">
      <c r="A34" t="s">
        <v>52</v>
      </c>
      <c r="B34" s="1" t="s">
        <v>53</v>
      </c>
      <c r="L34">
        <v>246937</v>
      </c>
      <c r="N34">
        <v>13261</v>
      </c>
    </row>
    <row r="35" spans="1:21">
      <c r="A35" t="s">
        <v>52</v>
      </c>
      <c r="B35" s="1" t="s">
        <v>53</v>
      </c>
      <c r="L35">
        <v>2320</v>
      </c>
      <c r="N35">
        <v>624668</v>
      </c>
    </row>
    <row r="36" spans="1:21">
      <c r="A36" t="s">
        <v>52</v>
      </c>
      <c r="B36" s="1" t="s">
        <v>56</v>
      </c>
      <c r="N36">
        <v>346941</v>
      </c>
    </row>
    <row r="37" spans="1:21">
      <c r="A37" t="s">
        <v>52</v>
      </c>
      <c r="B37" s="1" t="s">
        <v>56</v>
      </c>
      <c r="N37">
        <v>2231</v>
      </c>
    </row>
    <row r="38" spans="1:21">
      <c r="A38" t="s">
        <v>61</v>
      </c>
      <c r="D38" s="1">
        <f>SUM(D2:D37)</f>
        <v>561310</v>
      </c>
      <c r="E38" s="1">
        <f t="shared" ref="E38:R38" si="0">SUM(E2:E37)</f>
        <v>15164311</v>
      </c>
      <c r="F38" s="1">
        <f t="shared" si="0"/>
        <v>0</v>
      </c>
      <c r="G38" s="1">
        <f t="shared" si="0"/>
        <v>3431266</v>
      </c>
      <c r="H38" s="1">
        <f t="shared" si="0"/>
        <v>7136817</v>
      </c>
      <c r="I38" s="1">
        <f t="shared" si="0"/>
        <v>404557</v>
      </c>
      <c r="J38" s="1">
        <f t="shared" si="0"/>
        <v>2755103</v>
      </c>
      <c r="K38" s="1">
        <f t="shared" si="0"/>
        <v>171537</v>
      </c>
      <c r="L38" s="1">
        <f t="shared" si="0"/>
        <v>1958665</v>
      </c>
      <c r="M38" s="1">
        <f t="shared" si="0"/>
        <v>107559</v>
      </c>
      <c r="N38" s="1">
        <f t="shared" si="0"/>
        <v>1121378</v>
      </c>
      <c r="O38" s="1">
        <f t="shared" si="0"/>
        <v>928467</v>
      </c>
      <c r="P38" s="1">
        <f t="shared" si="0"/>
        <v>950124</v>
      </c>
      <c r="Q38" s="1">
        <f t="shared" si="0"/>
        <v>1020148</v>
      </c>
      <c r="R38" s="1">
        <f t="shared" si="0"/>
        <v>0</v>
      </c>
      <c r="S38" s="1"/>
      <c r="T38" s="1"/>
      <c r="U38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小山田晋</dc:creator>
  <cp:lastModifiedBy>晋 小山田</cp:lastModifiedBy>
  <dcterms:created xsi:type="dcterms:W3CDTF">2015-06-05T18:19:34Z</dcterms:created>
  <dcterms:modified xsi:type="dcterms:W3CDTF">2026-08-12T08:19:39Z</dcterms:modified>
</cp:coreProperties>
</file>